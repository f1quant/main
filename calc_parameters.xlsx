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lov/Documents/formula1/github/"/>
    </mc:Choice>
  </mc:AlternateContent>
  <xr:revisionPtr revIDLastSave="0" documentId="13_ncr:1_{2DDCD0D7-DCE0-6C46-8396-8430B60CDA8B}" xr6:coauthVersionLast="47" xr6:coauthVersionMax="47" xr10:uidLastSave="{00000000-0000-0000-0000-000000000000}"/>
  <bookViews>
    <workbookView xWindow="380" yWindow="600" windowWidth="28040" windowHeight="16940" activeTab="4" xr2:uid="{3EDD428F-EF81-F146-84CD-B69D3CE2FC97}"/>
  </bookViews>
  <sheets>
    <sheet name="baharain" sheetId="1" r:id="rId1"/>
    <sheet name="imola" sheetId="2" r:id="rId2"/>
    <sheet name="austin" sheetId="5" r:id="rId3"/>
    <sheet name="aus" sheetId="7" r:id="rId4"/>
    <sheet name="china" sheetId="8" r:id="rId5"/>
    <sheet name="mexico" sheetId="6" r:id="rId6"/>
    <sheet name="spain" sheetId="3" r:id="rId7"/>
    <sheet name="monaco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F14" i="8"/>
  <c r="F13" i="8"/>
  <c r="E14" i="8"/>
  <c r="E13" i="8"/>
  <c r="E8" i="8"/>
  <c r="E7" i="8"/>
  <c r="F15" i="6"/>
  <c r="F14" i="6"/>
  <c r="F13" i="6"/>
  <c r="P9" i="6"/>
  <c r="Q9" i="6"/>
  <c r="O9" i="6"/>
  <c r="E15" i="6"/>
  <c r="E14" i="6"/>
  <c r="E13" i="6"/>
  <c r="N9" i="6"/>
  <c r="M9" i="6"/>
  <c r="L9" i="6"/>
  <c r="E8" i="6"/>
  <c r="K9" i="6"/>
  <c r="J9" i="6"/>
  <c r="N8" i="5"/>
  <c r="E14" i="5" s="1"/>
  <c r="P8" i="5"/>
  <c r="O8" i="5"/>
  <c r="E13" i="5" s="1"/>
  <c r="M8" i="5"/>
  <c r="L8" i="5"/>
  <c r="W66" i="5"/>
  <c r="W65" i="5"/>
  <c r="W67" i="5" s="1"/>
  <c r="S48" i="5"/>
  <c r="S47" i="5"/>
  <c r="S49" i="5" s="1"/>
  <c r="E12" i="5"/>
  <c r="J8" i="5"/>
  <c r="I8" i="5"/>
  <c r="E14" i="4"/>
  <c r="D14" i="4"/>
  <c r="E13" i="4"/>
  <c r="D13" i="4"/>
  <c r="E12" i="4"/>
  <c r="D12" i="4"/>
  <c r="W66" i="3"/>
  <c r="W65" i="3"/>
  <c r="W67" i="3" s="1"/>
  <c r="S48" i="3"/>
  <c r="S47" i="3"/>
  <c r="S49" i="3" s="1"/>
  <c r="E14" i="3"/>
  <c r="E13" i="3"/>
  <c r="E12" i="3"/>
  <c r="P8" i="3"/>
  <c r="O8" i="3"/>
  <c r="N8" i="3"/>
  <c r="D14" i="3"/>
  <c r="D13" i="3"/>
  <c r="D12" i="3"/>
  <c r="M8" i="3"/>
  <c r="L8" i="3"/>
  <c r="K8" i="3"/>
  <c r="J8" i="3"/>
  <c r="I8" i="3"/>
  <c r="E12" i="2"/>
  <c r="E13" i="2"/>
  <c r="P5" i="2"/>
  <c r="O5" i="2"/>
  <c r="D14" i="2"/>
  <c r="D13" i="2"/>
  <c r="D12" i="2"/>
  <c r="M5" i="2"/>
  <c r="L5" i="2"/>
  <c r="D7" i="2"/>
  <c r="D6" i="2"/>
  <c r="J5" i="2"/>
  <c r="I5" i="2"/>
  <c r="Q7" i="1"/>
  <c r="E12" i="1" s="1"/>
  <c r="P7" i="1"/>
  <c r="E13" i="1" s="1"/>
  <c r="O7" i="1"/>
  <c r="E14" i="1" s="1"/>
  <c r="M7" i="1"/>
  <c r="N7" i="1"/>
  <c r="L7" i="1"/>
  <c r="K7" i="1"/>
  <c r="J7" i="1"/>
</calcChain>
</file>

<file path=xl/sharedStrings.xml><?xml version="1.0" encoding="utf-8"?>
<sst xmlns="http://schemas.openxmlformats.org/spreadsheetml/2006/main" count="223" uniqueCount="41">
  <si>
    <t>low temp</t>
  </si>
  <si>
    <t>Avg</t>
  </si>
  <si>
    <t>laps</t>
  </si>
  <si>
    <t>fuel loss</t>
  </si>
  <si>
    <t>pit loss</t>
  </si>
  <si>
    <t>soft</t>
  </si>
  <si>
    <t>medium</t>
  </si>
  <si>
    <t>hard</t>
  </si>
  <si>
    <t>na</t>
  </si>
  <si>
    <t>deg</t>
  </si>
  <si>
    <t>base pace</t>
  </si>
  <si>
    <t>strategies</t>
  </si>
  <si>
    <t>S,M,M</t>
  </si>
  <si>
    <t>S,M,S</t>
  </si>
  <si>
    <t>S,H,S</t>
  </si>
  <si>
    <t>S,H,H</t>
  </si>
  <si>
    <t>S,S,M,S</t>
  </si>
  <si>
    <t>M,H,H</t>
  </si>
  <si>
    <t>H,M</t>
  </si>
  <si>
    <t>M,H</t>
  </si>
  <si>
    <t>M,H,M</t>
  </si>
  <si>
    <t>avg</t>
  </si>
  <si>
    <t>length</t>
  </si>
  <si>
    <t>avg speed</t>
  </si>
  <si>
    <t>fuel</t>
  </si>
  <si>
    <t>med</t>
  </si>
  <si>
    <t>S,M,H</t>
  </si>
  <si>
    <t>high temp</t>
  </si>
  <si>
    <t>med temp</t>
  </si>
  <si>
    <t>M,H,S</t>
  </si>
  <si>
    <t>S,S,H</t>
  </si>
  <si>
    <t>pace</t>
  </si>
  <si>
    <t>M,M,S,S</t>
  </si>
  <si>
    <t>mid temp</t>
  </si>
  <si>
    <t>M,S</t>
  </si>
  <si>
    <t>S,M</t>
  </si>
  <si>
    <t>M,S,S</t>
  </si>
  <si>
    <t>H,S</t>
  </si>
  <si>
    <t>M,M,H</t>
  </si>
  <si>
    <t>2025 sprint</t>
  </si>
  <si>
    <t>2024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</si>
</sst>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1C01-27C4-6D49-824A-32CBDE6A921B}">
  <dimension ref="C2:Q22"/>
  <sheetViews>
    <sheetView workbookViewId="0">
      <selection activeCell="D5" sqref="D5"/>
    </sheetView>
  </sheetViews>
  <sheetFormatPr baseColWidth="10" defaultRowHeight="16" x14ac:dyDescent="0.2"/>
  <sheetData>
    <row r="2" spans="3:17" x14ac:dyDescent="0.2">
      <c r="L2" t="s">
        <v>5</v>
      </c>
      <c r="M2" t="s">
        <v>6</v>
      </c>
      <c r="N2" t="s">
        <v>7</v>
      </c>
      <c r="O2" t="s">
        <v>5</v>
      </c>
      <c r="P2" t="s">
        <v>6</v>
      </c>
      <c r="Q2" t="s">
        <v>7</v>
      </c>
    </row>
    <row r="3" spans="3:17" x14ac:dyDescent="0.2">
      <c r="C3" t="s">
        <v>22</v>
      </c>
      <c r="D3">
        <v>5.4119999999999999</v>
      </c>
      <c r="I3">
        <v>2022</v>
      </c>
      <c r="J3">
        <v>-8.8999999999999996E-2</v>
      </c>
      <c r="K3">
        <v>25.44</v>
      </c>
      <c r="L3">
        <v>0.18690000000000001</v>
      </c>
      <c r="M3">
        <v>0.15890000000000001</v>
      </c>
      <c r="N3">
        <v>0.18790000000000001</v>
      </c>
      <c r="O3">
        <v>0</v>
      </c>
      <c r="P3">
        <v>0.80500000000000005</v>
      </c>
      <c r="Q3">
        <v>0.90300000000000002</v>
      </c>
    </row>
    <row r="4" spans="3:17" x14ac:dyDescent="0.2">
      <c r="C4" t="s">
        <v>23</v>
      </c>
      <c r="D4">
        <v>215</v>
      </c>
      <c r="I4">
        <v>2023</v>
      </c>
      <c r="J4">
        <v>-7.9000000000000001E-2</v>
      </c>
      <c r="K4">
        <v>24.36</v>
      </c>
      <c r="L4">
        <v>0.1956</v>
      </c>
      <c r="M4">
        <v>8.6999999999999994E-2</v>
      </c>
      <c r="N4">
        <v>0.11799999999999999</v>
      </c>
      <c r="O4">
        <v>-0.29499999999999998</v>
      </c>
      <c r="P4">
        <v>9.2999999999999999E-2</v>
      </c>
      <c r="Q4">
        <v>0</v>
      </c>
    </row>
    <row r="5" spans="3:17" x14ac:dyDescent="0.2">
      <c r="C5" t="s">
        <v>2</v>
      </c>
      <c r="D5">
        <v>56</v>
      </c>
      <c r="H5" t="s">
        <v>0</v>
      </c>
      <c r="I5">
        <v>2024</v>
      </c>
      <c r="J5">
        <v>-7.3999999999999996E-2</v>
      </c>
      <c r="K5">
        <v>24.33</v>
      </c>
      <c r="L5">
        <v>0.12740000000000001</v>
      </c>
      <c r="M5" t="s">
        <v>8</v>
      </c>
      <c r="N5">
        <v>0.1123</v>
      </c>
      <c r="O5">
        <v>-0.28299999999999997</v>
      </c>
      <c r="P5" t="s">
        <v>8</v>
      </c>
      <c r="Q5">
        <v>0</v>
      </c>
    </row>
    <row r="6" spans="3:17" x14ac:dyDescent="0.2">
      <c r="C6" t="s">
        <v>3</v>
      </c>
      <c r="D6">
        <v>7.9000000000000001E-2</v>
      </c>
      <c r="I6">
        <v>2025</v>
      </c>
      <c r="J6">
        <v>-7.1999999999999995E-2</v>
      </c>
      <c r="K6">
        <v>23.44</v>
      </c>
      <c r="L6">
        <v>0.218</v>
      </c>
      <c r="M6">
        <v>0.12280000000000001</v>
      </c>
      <c r="N6">
        <v>0.14280000000000001</v>
      </c>
      <c r="O6">
        <v>-0.53200000000000003</v>
      </c>
      <c r="P6">
        <v>0</v>
      </c>
      <c r="Q6">
        <v>0.253</v>
      </c>
    </row>
    <row r="7" spans="3:17" x14ac:dyDescent="0.2">
      <c r="C7" t="s">
        <v>4</v>
      </c>
      <c r="D7">
        <v>24.4</v>
      </c>
      <c r="I7" t="s">
        <v>1</v>
      </c>
      <c r="J7" s="1">
        <f>AVERAGE(J3:J6)</f>
        <v>-7.85E-2</v>
      </c>
      <c r="K7">
        <f>AVERAGE(K3:K6)</f>
        <v>24.392499999999998</v>
      </c>
      <c r="L7" s="1">
        <f>AVERAGE(L3:L6)</f>
        <v>0.181975</v>
      </c>
      <c r="M7" s="1">
        <f>(M3+M6)/2</f>
        <v>0.14085</v>
      </c>
      <c r="N7" s="1">
        <f>AVERAGE(N3:N6)</f>
        <v>0.14025000000000001</v>
      </c>
      <c r="O7" s="1">
        <f>AVERAGE(O3:O6)</f>
        <v>-0.27749999999999997</v>
      </c>
      <c r="P7" s="1">
        <f>AVERAGE(P3:P6)</f>
        <v>0.29933333333333334</v>
      </c>
      <c r="Q7" s="1">
        <f>AVERAGE(Q3:Q6)</f>
        <v>0.28900000000000003</v>
      </c>
    </row>
    <row r="9" spans="3:17" x14ac:dyDescent="0.2">
      <c r="C9" t="s">
        <v>10</v>
      </c>
      <c r="D9">
        <v>93.4</v>
      </c>
    </row>
    <row r="11" spans="3:17" x14ac:dyDescent="0.2">
      <c r="D11" t="s">
        <v>9</v>
      </c>
    </row>
    <row r="12" spans="3:17" x14ac:dyDescent="0.2">
      <c r="C12" t="s">
        <v>7</v>
      </c>
      <c r="D12" s="1">
        <v>0.14000000000000001</v>
      </c>
      <c r="E12" s="1">
        <f>$D$9+Q7</f>
        <v>93.689000000000007</v>
      </c>
    </row>
    <row r="13" spans="3:17" x14ac:dyDescent="0.2">
      <c r="C13" t="s">
        <v>6</v>
      </c>
      <c r="D13" s="1">
        <v>0.14000000000000001</v>
      </c>
      <c r="E13" s="1">
        <f>$D$9+P7</f>
        <v>93.699333333333342</v>
      </c>
    </row>
    <row r="14" spans="3:17" x14ac:dyDescent="0.2">
      <c r="C14" t="s">
        <v>5</v>
      </c>
      <c r="D14" s="1">
        <v>0.182</v>
      </c>
      <c r="E14" s="1">
        <f>$D$9+O7</f>
        <v>93.122500000000002</v>
      </c>
    </row>
    <row r="17" spans="3:3" x14ac:dyDescent="0.2">
      <c r="C17" t="s">
        <v>11</v>
      </c>
    </row>
    <row r="18" spans="3:3" x14ac:dyDescent="0.2">
      <c r="C18" t="s">
        <v>12</v>
      </c>
    </row>
    <row r="19" spans="3:3" x14ac:dyDescent="0.2">
      <c r="C19" t="s">
        <v>13</v>
      </c>
    </row>
    <row r="20" spans="3:3" x14ac:dyDescent="0.2">
      <c r="C20" t="s">
        <v>15</v>
      </c>
    </row>
    <row r="21" spans="3:3" x14ac:dyDescent="0.2">
      <c r="C21" t="s">
        <v>14</v>
      </c>
    </row>
    <row r="22" spans="3:3" x14ac:dyDescent="0.2">
      <c r="C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0915-C48B-ED46-B010-CFC73A794C14}">
  <dimension ref="C2:P21"/>
  <sheetViews>
    <sheetView workbookViewId="0">
      <selection activeCell="D5" sqref="D5"/>
    </sheetView>
  </sheetViews>
  <sheetFormatPr baseColWidth="10" defaultRowHeight="16" x14ac:dyDescent="0.2"/>
  <sheetData>
    <row r="2" spans="3:16" x14ac:dyDescent="0.2">
      <c r="K2" t="s">
        <v>5</v>
      </c>
      <c r="L2" t="s">
        <v>6</v>
      </c>
      <c r="M2" t="s">
        <v>7</v>
      </c>
      <c r="N2" t="s">
        <v>5</v>
      </c>
      <c r="O2" t="s">
        <v>6</v>
      </c>
      <c r="P2" t="s">
        <v>7</v>
      </c>
    </row>
    <row r="3" spans="3:16" x14ac:dyDescent="0.2">
      <c r="C3" t="s">
        <v>22</v>
      </c>
      <c r="D3">
        <v>4.9089999999999998</v>
      </c>
      <c r="H3">
        <v>2025</v>
      </c>
      <c r="I3">
        <v>-5.8000000000000003E-2</v>
      </c>
      <c r="J3">
        <v>27.8</v>
      </c>
      <c r="K3" t="s">
        <v>8</v>
      </c>
      <c r="L3">
        <v>0.113</v>
      </c>
      <c r="M3">
        <v>6.1699999999999998E-2</v>
      </c>
      <c r="N3" t="s">
        <v>8</v>
      </c>
      <c r="O3">
        <v>-0.65800000000000003</v>
      </c>
      <c r="P3">
        <v>0</v>
      </c>
    </row>
    <row r="4" spans="3:16" x14ac:dyDescent="0.2">
      <c r="C4" t="s">
        <v>23</v>
      </c>
      <c r="D4">
        <v>217</v>
      </c>
      <c r="H4">
        <v>2024</v>
      </c>
      <c r="I4">
        <v>-4.7E-2</v>
      </c>
      <c r="J4">
        <v>27.8</v>
      </c>
      <c r="K4" t="s">
        <v>8</v>
      </c>
      <c r="L4">
        <v>0.10489999999999999</v>
      </c>
      <c r="M4">
        <v>6.5100000000000005E-2</v>
      </c>
      <c r="N4" t="s">
        <v>8</v>
      </c>
      <c r="O4">
        <v>-1.07</v>
      </c>
      <c r="P4">
        <v>0</v>
      </c>
    </row>
    <row r="5" spans="3:16" x14ac:dyDescent="0.2">
      <c r="C5" t="s">
        <v>2</v>
      </c>
      <c r="D5">
        <v>73</v>
      </c>
      <c r="I5">
        <f>AVERAGE(I3:I4)</f>
        <v>-5.2500000000000005E-2</v>
      </c>
      <c r="J5">
        <f>AVERAGE(J3:J4)</f>
        <v>27.8</v>
      </c>
      <c r="K5">
        <v>0.2</v>
      </c>
      <c r="L5">
        <f>AVERAGE(L3:L4)</f>
        <v>0.10894999999999999</v>
      </c>
      <c r="M5">
        <f>AVERAGE(M3:M4)</f>
        <v>6.3399999999999998E-2</v>
      </c>
      <c r="N5" t="s">
        <v>8</v>
      </c>
      <c r="O5">
        <f>AVERAGE(O3:O4)</f>
        <v>-0.8640000000000001</v>
      </c>
      <c r="P5">
        <f>AVERAGE(P3:P4)</f>
        <v>0</v>
      </c>
    </row>
    <row r="6" spans="3:16" x14ac:dyDescent="0.2">
      <c r="C6" t="s">
        <v>3</v>
      </c>
      <c r="D6" s="1">
        <f>-I5</f>
        <v>5.2500000000000005E-2</v>
      </c>
    </row>
    <row r="7" spans="3:16" x14ac:dyDescent="0.2">
      <c r="C7" t="s">
        <v>4</v>
      </c>
      <c r="D7">
        <f>J5</f>
        <v>27.8</v>
      </c>
      <c r="K7" s="1"/>
      <c r="L7" s="1"/>
      <c r="M7" s="1"/>
      <c r="N7" s="1"/>
      <c r="O7" s="1"/>
      <c r="P7" s="1"/>
    </row>
    <row r="9" spans="3:16" x14ac:dyDescent="0.2">
      <c r="C9" t="s">
        <v>10</v>
      </c>
      <c r="D9">
        <v>78.400000000000006</v>
      </c>
    </row>
    <row r="11" spans="3:16" x14ac:dyDescent="0.2">
      <c r="D11" t="s">
        <v>9</v>
      </c>
    </row>
    <row r="12" spans="3:16" x14ac:dyDescent="0.2">
      <c r="C12" t="s">
        <v>7</v>
      </c>
      <c r="D12" s="1">
        <f>M5</f>
        <v>6.3399999999999998E-2</v>
      </c>
      <c r="E12" s="1">
        <f>$D$9+P5</f>
        <v>78.400000000000006</v>
      </c>
    </row>
    <row r="13" spans="3:16" x14ac:dyDescent="0.2">
      <c r="C13" t="s">
        <v>6</v>
      </c>
      <c r="D13" s="1">
        <f>L5</f>
        <v>0.10894999999999999</v>
      </c>
      <c r="E13" s="1">
        <f>$D$9+O5</f>
        <v>77.536000000000001</v>
      </c>
    </row>
    <row r="14" spans="3:16" x14ac:dyDescent="0.2">
      <c r="C14" t="s">
        <v>5</v>
      </c>
      <c r="D14" s="1">
        <f>K5</f>
        <v>0.2</v>
      </c>
      <c r="E14" s="1">
        <v>79</v>
      </c>
    </row>
    <row r="17" spans="3:3" x14ac:dyDescent="0.2">
      <c r="C17" t="s">
        <v>11</v>
      </c>
    </row>
    <row r="18" spans="3:3" x14ac:dyDescent="0.2">
      <c r="C18" t="s">
        <v>17</v>
      </c>
    </row>
    <row r="19" spans="3:3" x14ac:dyDescent="0.2">
      <c r="C19" t="s">
        <v>18</v>
      </c>
    </row>
    <row r="20" spans="3:3" x14ac:dyDescent="0.2">
      <c r="C20" t="s">
        <v>19</v>
      </c>
    </row>
    <row r="21" spans="3:3" x14ac:dyDescent="0.2">
      <c r="C2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A1E4-FE3A-034F-9378-512EB799E165}">
  <dimension ref="C3:W67"/>
  <sheetViews>
    <sheetView workbookViewId="0">
      <selection activeCell="C2" sqref="C2:Q21"/>
    </sheetView>
  </sheetViews>
  <sheetFormatPr baseColWidth="10" defaultRowHeight="16" x14ac:dyDescent="0.2"/>
  <sheetData>
    <row r="3" spans="3:16" x14ac:dyDescent="0.2">
      <c r="I3" t="s">
        <v>24</v>
      </c>
      <c r="J3" t="s">
        <v>4</v>
      </c>
      <c r="K3" t="s">
        <v>5</v>
      </c>
      <c r="L3" t="s">
        <v>25</v>
      </c>
      <c r="M3" t="s">
        <v>7</v>
      </c>
      <c r="N3" t="s">
        <v>5</v>
      </c>
      <c r="O3" t="s">
        <v>25</v>
      </c>
      <c r="P3" t="s">
        <v>7</v>
      </c>
    </row>
    <row r="4" spans="3:16" x14ac:dyDescent="0.2">
      <c r="G4" t="s">
        <v>27</v>
      </c>
      <c r="H4">
        <v>2025</v>
      </c>
      <c r="I4" t="s">
        <v>8</v>
      </c>
      <c r="J4">
        <v>21.241</v>
      </c>
      <c r="K4">
        <v>7.0599999999999996E-2</v>
      </c>
      <c r="L4">
        <v>7.5300000000000006E-2</v>
      </c>
      <c r="M4">
        <v>7.4099999999999999E-2</v>
      </c>
      <c r="N4">
        <v>4.48E-2</v>
      </c>
      <c r="O4">
        <v>0</v>
      </c>
      <c r="P4">
        <v>0.64400000000000002</v>
      </c>
    </row>
    <row r="5" spans="3:16" x14ac:dyDescent="0.2">
      <c r="C5" t="s">
        <v>2</v>
      </c>
      <c r="D5">
        <v>56</v>
      </c>
      <c r="G5" t="s">
        <v>27</v>
      </c>
      <c r="H5">
        <v>2024</v>
      </c>
      <c r="I5" t="s">
        <v>8</v>
      </c>
      <c r="J5">
        <v>21.488</v>
      </c>
      <c r="K5" t="s">
        <v>8</v>
      </c>
      <c r="L5">
        <v>6.0199999999999997E-2</v>
      </c>
      <c r="M5">
        <v>3.8300000000000001E-2</v>
      </c>
      <c r="N5" t="s">
        <v>8</v>
      </c>
      <c r="O5">
        <v>-0.316</v>
      </c>
      <c r="P5">
        <v>0</v>
      </c>
    </row>
    <row r="6" spans="3:16" x14ac:dyDescent="0.2">
      <c r="C6" t="s">
        <v>3</v>
      </c>
      <c r="D6">
        <v>6.8000000000000005E-2</v>
      </c>
      <c r="G6" t="s">
        <v>33</v>
      </c>
      <c r="H6">
        <v>2023</v>
      </c>
      <c r="I6">
        <v>7.3999999999999996E-2</v>
      </c>
      <c r="J6">
        <v>20.809000000000001</v>
      </c>
      <c r="K6" t="s">
        <v>8</v>
      </c>
      <c r="L6">
        <v>8.72E-2</v>
      </c>
      <c r="M6">
        <v>8.2500000000000004E-2</v>
      </c>
      <c r="N6" t="s">
        <v>8</v>
      </c>
      <c r="O6">
        <v>0</v>
      </c>
      <c r="P6">
        <v>0.46300000000000002</v>
      </c>
    </row>
    <row r="7" spans="3:16" x14ac:dyDescent="0.2">
      <c r="C7" t="s">
        <v>4</v>
      </c>
      <c r="D7">
        <v>21</v>
      </c>
      <c r="G7" t="s">
        <v>0</v>
      </c>
      <c r="H7">
        <v>2022</v>
      </c>
      <c r="I7">
        <v>6.0999999999999999E-2</v>
      </c>
      <c r="J7">
        <v>20.344000000000001</v>
      </c>
      <c r="K7" t="s">
        <v>8</v>
      </c>
      <c r="L7">
        <v>8.6300000000000002E-2</v>
      </c>
      <c r="M7">
        <v>6.2E-2</v>
      </c>
      <c r="N7" t="s">
        <v>8</v>
      </c>
      <c r="O7">
        <v>-0.37</v>
      </c>
      <c r="P7">
        <v>0</v>
      </c>
    </row>
    <row r="8" spans="3:16" x14ac:dyDescent="0.2">
      <c r="H8" t="s">
        <v>21</v>
      </c>
      <c r="I8" s="1">
        <f>AVERAGE(I4:I7)</f>
        <v>6.7500000000000004E-2</v>
      </c>
      <c r="J8" s="1">
        <f>AVERAGE(J4:J7)</f>
        <v>20.970500000000001</v>
      </c>
      <c r="K8" s="1"/>
      <c r="L8" s="1">
        <f>AVERAGE(L4:L7)</f>
        <v>7.7249999999999999E-2</v>
      </c>
      <c r="M8" s="1">
        <f>AVERAGE(M5:M7)</f>
        <v>6.0933333333333339E-2</v>
      </c>
      <c r="N8" s="1">
        <f>O8+N11</f>
        <v>-0.29449999999999998</v>
      </c>
      <c r="O8" s="1">
        <f>AVERAGE(O4:O7)</f>
        <v>-0.17149999999999999</v>
      </c>
      <c r="P8" s="1">
        <f>AVERAGE(P4:P7)</f>
        <v>0.27675</v>
      </c>
    </row>
    <row r="9" spans="3:16" x14ac:dyDescent="0.2">
      <c r="C9" t="s">
        <v>10</v>
      </c>
      <c r="D9">
        <v>98</v>
      </c>
    </row>
    <row r="11" spans="3:16" x14ac:dyDescent="0.2">
      <c r="D11" t="s">
        <v>9</v>
      </c>
      <c r="E11" t="s">
        <v>31</v>
      </c>
      <c r="H11">
        <v>2025</v>
      </c>
      <c r="I11">
        <v>4.7E-2</v>
      </c>
      <c r="K11">
        <v>6.5299999999999997E-2</v>
      </c>
      <c r="L11">
        <v>4.6800000000000001E-2</v>
      </c>
      <c r="M11" t="s">
        <v>8</v>
      </c>
      <c r="N11">
        <v>-0.123</v>
      </c>
      <c r="O11">
        <v>0</v>
      </c>
    </row>
    <row r="12" spans="3:16" x14ac:dyDescent="0.2">
      <c r="C12" t="s">
        <v>7</v>
      </c>
      <c r="D12" s="1">
        <v>6.0999999999999999E-2</v>
      </c>
      <c r="E12" s="1">
        <f>$D$9+P8</f>
        <v>98.276750000000007</v>
      </c>
    </row>
    <row r="13" spans="3:16" x14ac:dyDescent="0.2">
      <c r="C13" t="s">
        <v>25</v>
      </c>
      <c r="D13" s="1">
        <v>7.6999999999999999E-2</v>
      </c>
      <c r="E13" s="3">
        <f>$D$9+O8</f>
        <v>97.828500000000005</v>
      </c>
    </row>
    <row r="14" spans="3:16" x14ac:dyDescent="0.2">
      <c r="C14" t="s">
        <v>5</v>
      </c>
      <c r="D14" s="1">
        <v>0.08</v>
      </c>
      <c r="E14" s="1">
        <f>$D$9+N8</f>
        <v>97.705500000000001</v>
      </c>
    </row>
    <row r="16" spans="3:16" x14ac:dyDescent="0.2">
      <c r="C16" t="s">
        <v>11</v>
      </c>
    </row>
    <row r="17" spans="3:11" x14ac:dyDescent="0.2">
      <c r="C17" t="s">
        <v>34</v>
      </c>
      <c r="H17" s="1"/>
      <c r="I17" s="1"/>
    </row>
    <row r="18" spans="3:11" x14ac:dyDescent="0.2">
      <c r="C18" t="s">
        <v>35</v>
      </c>
    </row>
    <row r="19" spans="3:11" x14ac:dyDescent="0.2">
      <c r="C19" t="s">
        <v>36</v>
      </c>
      <c r="H19" s="1"/>
    </row>
    <row r="20" spans="3:11" x14ac:dyDescent="0.2">
      <c r="C20" t="s">
        <v>12</v>
      </c>
    </row>
    <row r="21" spans="3:11" x14ac:dyDescent="0.2">
      <c r="C21" t="s">
        <v>18</v>
      </c>
      <c r="I21" s="1"/>
    </row>
    <row r="22" spans="3:11" x14ac:dyDescent="0.2">
      <c r="I22" s="1"/>
    </row>
    <row r="23" spans="3:11" x14ac:dyDescent="0.2">
      <c r="I23" s="1"/>
    </row>
    <row r="24" spans="3:11" x14ac:dyDescent="0.2">
      <c r="I24" s="1"/>
    </row>
    <row r="30" spans="3:11" x14ac:dyDescent="0.2">
      <c r="K30" s="1"/>
    </row>
    <row r="47" spans="19:19" x14ac:dyDescent="0.2">
      <c r="S47">
        <f>(U47+U46)</f>
        <v>0</v>
      </c>
    </row>
    <row r="48" spans="19:19" x14ac:dyDescent="0.2">
      <c r="S48">
        <f>(U48+U45)</f>
        <v>0</v>
      </c>
    </row>
    <row r="49" spans="19:19" x14ac:dyDescent="0.2">
      <c r="S49">
        <f>S47-S48</f>
        <v>0</v>
      </c>
    </row>
    <row r="65" spans="23:23" x14ac:dyDescent="0.2">
      <c r="W65">
        <f>(V65+V64)</f>
        <v>0</v>
      </c>
    </row>
    <row r="66" spans="23:23" x14ac:dyDescent="0.2">
      <c r="W66">
        <f>(V66+V63)</f>
        <v>0</v>
      </c>
    </row>
    <row r="67" spans="23:23" x14ac:dyDescent="0.2">
      <c r="W67">
        <f>W65-W66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6F3B-9A1C-FB49-8D72-D3D5F74F8268}">
  <dimension ref="A1:Q23"/>
  <sheetViews>
    <sheetView workbookViewId="0">
      <selection activeCell="J10" sqref="J10:K15"/>
    </sheetView>
  </sheetViews>
  <sheetFormatPr baseColWidth="10" defaultRowHeight="16" x14ac:dyDescent="0.2"/>
  <sheetData>
    <row r="1" spans="1:17" x14ac:dyDescent="0.2">
      <c r="A1" s="2"/>
    </row>
    <row r="4" spans="1:17" x14ac:dyDescent="0.2">
      <c r="J4" t="s">
        <v>24</v>
      </c>
      <c r="K4" t="s">
        <v>4</v>
      </c>
      <c r="L4" t="s">
        <v>5</v>
      </c>
      <c r="M4" t="s">
        <v>25</v>
      </c>
      <c r="N4" t="s">
        <v>7</v>
      </c>
      <c r="O4" t="s">
        <v>5</v>
      </c>
      <c r="P4" t="s">
        <v>25</v>
      </c>
      <c r="Q4" t="s">
        <v>7</v>
      </c>
    </row>
    <row r="5" spans="1:17" x14ac:dyDescent="0.2">
      <c r="I5">
        <v>2026</v>
      </c>
      <c r="J5">
        <v>5.1999999999999998E-2</v>
      </c>
    </row>
    <row r="6" spans="1:17" x14ac:dyDescent="0.2">
      <c r="D6" t="s">
        <v>2</v>
      </c>
      <c r="I6">
        <v>2024</v>
      </c>
      <c r="J6">
        <v>5.2999999999999999E-2</v>
      </c>
    </row>
    <row r="7" spans="1:17" x14ac:dyDescent="0.2">
      <c r="D7" t="s">
        <v>3</v>
      </c>
      <c r="I7">
        <v>2024</v>
      </c>
    </row>
    <row r="8" spans="1:17" x14ac:dyDescent="0.2">
      <c r="D8" t="s">
        <v>4</v>
      </c>
      <c r="E8" s="1"/>
      <c r="I8">
        <v>2023</v>
      </c>
    </row>
    <row r="9" spans="1:17" x14ac:dyDescent="0.2">
      <c r="I9">
        <v>2022</v>
      </c>
    </row>
    <row r="10" spans="1:17" x14ac:dyDescent="0.2">
      <c r="D10" t="s">
        <v>10</v>
      </c>
      <c r="I10" t="s">
        <v>21</v>
      </c>
      <c r="J10" s="1"/>
      <c r="K10" s="1"/>
      <c r="L10" s="1"/>
      <c r="M10" s="1"/>
      <c r="N10" s="1"/>
      <c r="O10" s="1"/>
      <c r="P10" s="1"/>
      <c r="Q10" s="1"/>
    </row>
    <row r="12" spans="1:17" x14ac:dyDescent="0.2">
      <c r="E12" t="s">
        <v>9</v>
      </c>
      <c r="F12" t="s">
        <v>31</v>
      </c>
    </row>
    <row r="13" spans="1:17" x14ac:dyDescent="0.2">
      <c r="D13" t="s">
        <v>7</v>
      </c>
      <c r="E13" s="1"/>
      <c r="F13" s="1"/>
      <c r="I13">
        <v>2025</v>
      </c>
    </row>
    <row r="14" spans="1:17" x14ac:dyDescent="0.2">
      <c r="D14" t="s">
        <v>25</v>
      </c>
      <c r="E14" s="1"/>
      <c r="F14" s="3"/>
    </row>
    <row r="15" spans="1:17" x14ac:dyDescent="0.2">
      <c r="D15" t="s">
        <v>5</v>
      </c>
      <c r="E15" s="1"/>
      <c r="F15" s="1"/>
    </row>
    <row r="17" spans="4:10" x14ac:dyDescent="0.2">
      <c r="D17" t="s">
        <v>11</v>
      </c>
    </row>
    <row r="19" spans="4:10" x14ac:dyDescent="0.2">
      <c r="I19" s="1"/>
      <c r="J19" s="1"/>
    </row>
    <row r="21" spans="4:10" x14ac:dyDescent="0.2">
      <c r="I21" s="1"/>
    </row>
    <row r="23" spans="4:10" x14ac:dyDescent="0.2">
      <c r="J2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BA364-61D5-1D43-8CD3-6FF897AA64BC}">
  <dimension ref="A1:Q22"/>
  <sheetViews>
    <sheetView tabSelected="1" workbookViewId="0">
      <selection activeCell="I9" sqref="I9"/>
    </sheetView>
  </sheetViews>
  <sheetFormatPr baseColWidth="10" defaultRowHeight="16" x14ac:dyDescent="0.2"/>
  <sheetData>
    <row r="1" spans="1:17" x14ac:dyDescent="0.2">
      <c r="A1" s="2"/>
    </row>
    <row r="4" spans="1:17" x14ac:dyDescent="0.2">
      <c r="J4" t="s">
        <v>24</v>
      </c>
      <c r="K4" t="s">
        <v>4</v>
      </c>
      <c r="L4" t="s">
        <v>5</v>
      </c>
      <c r="M4" t="s">
        <v>25</v>
      </c>
      <c r="N4" t="s">
        <v>7</v>
      </c>
      <c r="O4" t="s">
        <v>5</v>
      </c>
      <c r="P4" t="s">
        <v>25</v>
      </c>
      <c r="Q4" t="s">
        <v>7</v>
      </c>
    </row>
    <row r="5" spans="1:17" x14ac:dyDescent="0.2">
      <c r="H5" t="s">
        <v>27</v>
      </c>
      <c r="I5">
        <v>2025</v>
      </c>
      <c r="J5">
        <v>8.6999999999999994E-2</v>
      </c>
      <c r="K5">
        <v>22.768000000000001</v>
      </c>
      <c r="M5">
        <v>0.1321</v>
      </c>
      <c r="N5">
        <v>6.3799999999999996E-2</v>
      </c>
    </row>
    <row r="6" spans="1:17" x14ac:dyDescent="0.2">
      <c r="D6" t="s">
        <v>2</v>
      </c>
      <c r="E6">
        <v>56</v>
      </c>
      <c r="H6" t="s">
        <v>33</v>
      </c>
      <c r="I6">
        <v>2024</v>
      </c>
      <c r="J6">
        <v>8.3000000000000004E-2</v>
      </c>
      <c r="K6">
        <v>23.780999999999999</v>
      </c>
      <c r="L6">
        <v>0.20669999999999999</v>
      </c>
      <c r="M6">
        <v>0.19370000000000001</v>
      </c>
      <c r="N6">
        <v>0.1361</v>
      </c>
    </row>
    <row r="7" spans="1:17" x14ac:dyDescent="0.2">
      <c r="D7" t="s">
        <v>3</v>
      </c>
      <c r="E7">
        <f>AVERAGE(J5:J6)</f>
        <v>8.4999999999999992E-2</v>
      </c>
      <c r="I7" t="s">
        <v>39</v>
      </c>
      <c r="M7">
        <v>0.26240000000000002</v>
      </c>
    </row>
    <row r="8" spans="1:17" x14ac:dyDescent="0.2">
      <c r="D8" t="s">
        <v>4</v>
      </c>
      <c r="E8" s="1">
        <f>AVERAGE(K5:K6)</f>
        <v>23.2745</v>
      </c>
      <c r="I8" t="s">
        <v>40</v>
      </c>
      <c r="M8">
        <v>0.16070000000000001</v>
      </c>
    </row>
    <row r="9" spans="1:17" x14ac:dyDescent="0.2">
      <c r="J9" s="1"/>
      <c r="K9" s="1"/>
      <c r="L9" s="1"/>
      <c r="M9" s="1"/>
      <c r="N9" s="1"/>
      <c r="O9" s="1"/>
      <c r="P9" s="1"/>
      <c r="Q9" s="1"/>
    </row>
    <row r="10" spans="1:17" x14ac:dyDescent="0.2">
      <c r="D10" t="s">
        <v>10</v>
      </c>
      <c r="E10">
        <v>79.2</v>
      </c>
    </row>
    <row r="12" spans="1:17" x14ac:dyDescent="0.2">
      <c r="E12" t="s">
        <v>9</v>
      </c>
      <c r="F12" t="s">
        <v>31</v>
      </c>
      <c r="I12">
        <v>2025</v>
      </c>
      <c r="J12">
        <v>4.7E-2</v>
      </c>
      <c r="L12">
        <v>6.5299999999999997E-2</v>
      </c>
      <c r="M12">
        <v>4.6800000000000001E-2</v>
      </c>
      <c r="N12" t="s">
        <v>8</v>
      </c>
      <c r="O12">
        <v>-0.123</v>
      </c>
      <c r="P12">
        <v>0</v>
      </c>
    </row>
    <row r="13" spans="1:17" x14ac:dyDescent="0.2">
      <c r="D13" t="s">
        <v>7</v>
      </c>
      <c r="E13" s="1">
        <f>N5</f>
        <v>6.3799999999999996E-2</v>
      </c>
      <c r="F13" s="1">
        <f>E10</f>
        <v>79.2</v>
      </c>
    </row>
    <row r="14" spans="1:17" x14ac:dyDescent="0.2">
      <c r="D14" t="s">
        <v>25</v>
      </c>
      <c r="E14" s="1">
        <f>M5</f>
        <v>0.1321</v>
      </c>
      <c r="F14" s="3">
        <f>E10-0.5</f>
        <v>78.7</v>
      </c>
    </row>
    <row r="15" spans="1:17" x14ac:dyDescent="0.2">
      <c r="D15" t="s">
        <v>5</v>
      </c>
      <c r="E15" s="1">
        <v>0.15</v>
      </c>
      <c r="F15" s="1">
        <f>E10-0.7</f>
        <v>78.5</v>
      </c>
    </row>
    <row r="17" spans="4:10" x14ac:dyDescent="0.2">
      <c r="D17" t="s">
        <v>11</v>
      </c>
    </row>
    <row r="18" spans="4:10" x14ac:dyDescent="0.2">
      <c r="D18" t="s">
        <v>19</v>
      </c>
      <c r="I18" s="1"/>
      <c r="J18" s="1"/>
    </row>
    <row r="19" spans="4:10" x14ac:dyDescent="0.2">
      <c r="D19" t="s">
        <v>18</v>
      </c>
    </row>
    <row r="20" spans="4:10" x14ac:dyDescent="0.2">
      <c r="D20" t="s">
        <v>17</v>
      </c>
      <c r="I20" s="1"/>
    </row>
    <row r="21" spans="4:10" x14ac:dyDescent="0.2">
      <c r="D21" t="s">
        <v>38</v>
      </c>
    </row>
    <row r="22" spans="4:10" x14ac:dyDescent="0.2">
      <c r="D22" t="s">
        <v>20</v>
      </c>
      <c r="J2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01A4-2A94-3B44-ABEE-D0B2AEB8EB7C}">
  <dimension ref="A1:Q22"/>
  <sheetViews>
    <sheetView workbookViewId="0">
      <selection activeCell="I25" sqref="I25"/>
    </sheetView>
  </sheetViews>
  <sheetFormatPr baseColWidth="10" defaultRowHeight="16" x14ac:dyDescent="0.2"/>
  <sheetData>
    <row r="1" spans="1:17" x14ac:dyDescent="0.2">
      <c r="A1" s="2"/>
    </row>
    <row r="4" spans="1:17" x14ac:dyDescent="0.2">
      <c r="J4" t="s">
        <v>24</v>
      </c>
      <c r="K4" t="s">
        <v>4</v>
      </c>
      <c r="L4" t="s">
        <v>5</v>
      </c>
      <c r="M4" t="s">
        <v>25</v>
      </c>
      <c r="N4" t="s">
        <v>7</v>
      </c>
      <c r="O4" t="s">
        <v>5</v>
      </c>
      <c r="P4" t="s">
        <v>25</v>
      </c>
      <c r="Q4" t="s">
        <v>7</v>
      </c>
    </row>
    <row r="5" spans="1:17" x14ac:dyDescent="0.2">
      <c r="H5" t="s">
        <v>27</v>
      </c>
      <c r="I5">
        <v>2025</v>
      </c>
      <c r="J5">
        <v>3.7999999999999999E-2</v>
      </c>
      <c r="K5">
        <v>22.542000000000002</v>
      </c>
      <c r="L5">
        <v>7.1199999999999999E-2</v>
      </c>
      <c r="M5">
        <v>4.7899999999999998E-2</v>
      </c>
      <c r="N5">
        <v>2.6100000000000002E-2</v>
      </c>
      <c r="O5">
        <v>0</v>
      </c>
      <c r="P5">
        <v>0.42599999999999999</v>
      </c>
      <c r="Q5">
        <v>0.66900000000000004</v>
      </c>
    </row>
    <row r="6" spans="1:17" x14ac:dyDescent="0.2">
      <c r="D6" t="s">
        <v>2</v>
      </c>
      <c r="E6">
        <v>71</v>
      </c>
      <c r="H6" t="s">
        <v>33</v>
      </c>
      <c r="I6">
        <v>2024</v>
      </c>
      <c r="J6" t="s">
        <v>8</v>
      </c>
      <c r="K6">
        <v>23.611999999999998</v>
      </c>
      <c r="L6" t="s">
        <v>8</v>
      </c>
      <c r="M6">
        <v>7.9500000000000001E-2</v>
      </c>
      <c r="N6">
        <v>2.7E-2</v>
      </c>
      <c r="O6" t="s">
        <v>8</v>
      </c>
      <c r="P6">
        <v>6.3E-2</v>
      </c>
      <c r="Q6">
        <v>0</v>
      </c>
    </row>
    <row r="7" spans="1:17" x14ac:dyDescent="0.2">
      <c r="D7" t="s">
        <v>3</v>
      </c>
      <c r="E7">
        <v>4.1000000000000002E-2</v>
      </c>
      <c r="H7" t="s">
        <v>0</v>
      </c>
      <c r="I7">
        <v>2023</v>
      </c>
      <c r="J7">
        <v>4.5999999999999999E-2</v>
      </c>
      <c r="K7">
        <v>22.103999999999999</v>
      </c>
      <c r="L7" t="s">
        <v>8</v>
      </c>
      <c r="M7">
        <v>6.3299999999999995E-2</v>
      </c>
      <c r="N7">
        <v>6.0900000000000003E-2</v>
      </c>
      <c r="O7" t="s">
        <v>8</v>
      </c>
      <c r="P7">
        <v>0</v>
      </c>
      <c r="Q7">
        <v>0.373</v>
      </c>
    </row>
    <row r="8" spans="1:17" x14ac:dyDescent="0.2">
      <c r="D8" t="s">
        <v>4</v>
      </c>
      <c r="E8" s="1">
        <f>K9</f>
        <v>22.884999999999998</v>
      </c>
      <c r="H8" t="s">
        <v>0</v>
      </c>
      <c r="I8">
        <v>2022</v>
      </c>
      <c r="J8">
        <v>0.04</v>
      </c>
      <c r="K8">
        <v>23.282</v>
      </c>
      <c r="L8">
        <v>6.4899999999999999E-2</v>
      </c>
      <c r="M8">
        <v>3.9399999999999998E-2</v>
      </c>
      <c r="N8">
        <v>6.6000000000000003E-2</v>
      </c>
      <c r="O8">
        <v>-0.14399999999999999</v>
      </c>
      <c r="P8">
        <v>0</v>
      </c>
      <c r="Q8">
        <v>1.22</v>
      </c>
    </row>
    <row r="9" spans="1:17" x14ac:dyDescent="0.2">
      <c r="I9" t="s">
        <v>21</v>
      </c>
      <c r="J9" s="1">
        <f t="shared" ref="J9:O9" si="0">AVERAGE(J5:J8)</f>
        <v>4.1333333333333333E-2</v>
      </c>
      <c r="K9" s="1">
        <f t="shared" si="0"/>
        <v>22.884999999999998</v>
      </c>
      <c r="L9" s="1">
        <f t="shared" si="0"/>
        <v>6.8049999999999999E-2</v>
      </c>
      <c r="M9" s="1">
        <f t="shared" si="0"/>
        <v>5.7525E-2</v>
      </c>
      <c r="N9" s="1">
        <f t="shared" si="0"/>
        <v>4.4999999999999998E-2</v>
      </c>
      <c r="O9" s="1">
        <f t="shared" si="0"/>
        <v>-7.1999999999999995E-2</v>
      </c>
      <c r="P9" s="1">
        <f>AVERAGE(P5:P7)</f>
        <v>0.16300000000000001</v>
      </c>
      <c r="Q9" s="1">
        <f>AVERAGE(Q5:Q7)</f>
        <v>0.34733333333333333</v>
      </c>
    </row>
    <row r="10" spans="1:17" x14ac:dyDescent="0.2">
      <c r="D10" t="s">
        <v>10</v>
      </c>
      <c r="E10">
        <v>79.2</v>
      </c>
    </row>
    <row r="12" spans="1:17" x14ac:dyDescent="0.2">
      <c r="E12" t="s">
        <v>9</v>
      </c>
      <c r="F12" t="s">
        <v>31</v>
      </c>
      <c r="I12">
        <v>2025</v>
      </c>
      <c r="J12">
        <v>4.7E-2</v>
      </c>
      <c r="L12">
        <v>6.5299999999999997E-2</v>
      </c>
      <c r="M12">
        <v>4.6800000000000001E-2</v>
      </c>
      <c r="N12" t="s">
        <v>8</v>
      </c>
      <c r="O12">
        <v>-0.123</v>
      </c>
      <c r="P12">
        <v>0</v>
      </c>
    </row>
    <row r="13" spans="1:17" x14ac:dyDescent="0.2">
      <c r="D13" t="s">
        <v>7</v>
      </c>
      <c r="E13" s="1">
        <f>N9</f>
        <v>4.4999999999999998E-2</v>
      </c>
      <c r="F13" s="1">
        <f>$E$10+Q9</f>
        <v>79.547333333333341</v>
      </c>
    </row>
    <row r="14" spans="1:17" x14ac:dyDescent="0.2">
      <c r="D14" t="s">
        <v>25</v>
      </c>
      <c r="E14" s="1">
        <f>M9</f>
        <v>5.7525E-2</v>
      </c>
      <c r="F14" s="3">
        <f>$E$10+P9</f>
        <v>79.363</v>
      </c>
    </row>
    <row r="15" spans="1:17" x14ac:dyDescent="0.2">
      <c r="D15" t="s">
        <v>5</v>
      </c>
      <c r="E15" s="1">
        <f>L9</f>
        <v>6.8049999999999999E-2</v>
      </c>
      <c r="F15" s="1">
        <f>$E$10+O9</f>
        <v>79.128</v>
      </c>
    </row>
    <row r="17" spans="4:10" x14ac:dyDescent="0.2">
      <c r="D17" t="s">
        <v>11</v>
      </c>
    </row>
    <row r="18" spans="4:10" x14ac:dyDescent="0.2">
      <c r="D18" t="s">
        <v>35</v>
      </c>
      <c r="I18" s="1"/>
      <c r="J18" s="1"/>
    </row>
    <row r="19" spans="4:10" x14ac:dyDescent="0.2">
      <c r="D19" t="s">
        <v>34</v>
      </c>
    </row>
    <row r="20" spans="4:10" x14ac:dyDescent="0.2">
      <c r="D20" t="s">
        <v>13</v>
      </c>
      <c r="I20" s="1"/>
    </row>
    <row r="21" spans="4:10" x14ac:dyDescent="0.2">
      <c r="D21" t="s">
        <v>37</v>
      </c>
    </row>
    <row r="22" spans="4:10" x14ac:dyDescent="0.2">
      <c r="D22" t="s">
        <v>19</v>
      </c>
      <c r="J2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DE60-EAB2-C748-9381-CBCCEBA4E64B}">
  <dimension ref="C3:W67"/>
  <sheetViews>
    <sheetView workbookViewId="0">
      <selection activeCell="D6" sqref="D6"/>
    </sheetView>
  </sheetViews>
  <sheetFormatPr baseColWidth="10" defaultRowHeight="16" x14ac:dyDescent="0.2"/>
  <sheetData>
    <row r="3" spans="3:16" x14ac:dyDescent="0.2">
      <c r="C3" t="s">
        <v>22</v>
      </c>
      <c r="D3">
        <v>4.657</v>
      </c>
      <c r="I3" t="s">
        <v>24</v>
      </c>
      <c r="J3" t="s">
        <v>4</v>
      </c>
      <c r="K3" t="s">
        <v>5</v>
      </c>
      <c r="L3" t="s">
        <v>25</v>
      </c>
      <c r="M3" t="s">
        <v>7</v>
      </c>
      <c r="N3" t="s">
        <v>5</v>
      </c>
      <c r="O3" t="s">
        <v>25</v>
      </c>
      <c r="P3" t="s">
        <v>7</v>
      </c>
    </row>
    <row r="4" spans="3:16" x14ac:dyDescent="0.2">
      <c r="C4" t="s">
        <v>23</v>
      </c>
      <c r="D4">
        <v>220</v>
      </c>
      <c r="G4" t="s">
        <v>27</v>
      </c>
      <c r="H4">
        <v>2025</v>
      </c>
      <c r="I4">
        <v>-5.8999999999999997E-2</v>
      </c>
      <c r="J4">
        <v>22.7</v>
      </c>
      <c r="K4">
        <v>0.1135</v>
      </c>
      <c r="L4">
        <v>7.7299999999999994E-2</v>
      </c>
      <c r="M4" t="s">
        <v>8</v>
      </c>
      <c r="N4">
        <v>-0.40400000000000003</v>
      </c>
      <c r="O4">
        <v>0</v>
      </c>
      <c r="P4">
        <v>-0.129</v>
      </c>
    </row>
    <row r="5" spans="3:16" x14ac:dyDescent="0.2">
      <c r="C5" t="s">
        <v>2</v>
      </c>
      <c r="D5">
        <v>66</v>
      </c>
      <c r="G5" t="s">
        <v>28</v>
      </c>
      <c r="H5">
        <v>2024</v>
      </c>
      <c r="I5">
        <v>-6.6000000000000003E-2</v>
      </c>
      <c r="J5">
        <v>22.7</v>
      </c>
      <c r="K5">
        <v>8.3299999999999999E-2</v>
      </c>
      <c r="L5">
        <v>7.2499999999999995E-2</v>
      </c>
      <c r="M5">
        <v>8.5199999999999998E-2</v>
      </c>
      <c r="N5">
        <v>0</v>
      </c>
      <c r="O5">
        <v>0.13900000000000001</v>
      </c>
      <c r="P5">
        <v>9.6000000000000002E-2</v>
      </c>
    </row>
    <row r="6" spans="3:16" x14ac:dyDescent="0.2">
      <c r="C6" t="s">
        <v>3</v>
      </c>
      <c r="D6">
        <v>5.7000000000000002E-2</v>
      </c>
      <c r="G6" t="s">
        <v>0</v>
      </c>
      <c r="H6">
        <v>2023</v>
      </c>
      <c r="I6">
        <v>-5.6000000000000001E-2</v>
      </c>
      <c r="J6">
        <v>23.8</v>
      </c>
      <c r="K6">
        <v>8.1100000000000005E-2</v>
      </c>
      <c r="L6">
        <v>6.59E-2</v>
      </c>
      <c r="M6">
        <v>8.0100000000000005E-2</v>
      </c>
      <c r="N6">
        <v>8.1000000000000003E-2</v>
      </c>
      <c r="O6">
        <v>0.184</v>
      </c>
      <c r="P6">
        <v>0</v>
      </c>
    </row>
    <row r="7" spans="3:16" x14ac:dyDescent="0.2">
      <c r="C7" t="s">
        <v>4</v>
      </c>
      <c r="D7">
        <v>22.9</v>
      </c>
      <c r="G7" t="s">
        <v>27</v>
      </c>
      <c r="H7">
        <v>2022</v>
      </c>
      <c r="I7">
        <v>-4.8000000000000001E-2</v>
      </c>
      <c r="J7">
        <v>22.53</v>
      </c>
      <c r="K7">
        <v>0.1855</v>
      </c>
      <c r="L7">
        <v>0.1099</v>
      </c>
      <c r="M7" t="s">
        <v>8</v>
      </c>
      <c r="N7">
        <v>0</v>
      </c>
      <c r="O7">
        <v>0.50600000000000001</v>
      </c>
      <c r="P7" t="s">
        <v>8</v>
      </c>
    </row>
    <row r="8" spans="3:16" x14ac:dyDescent="0.2">
      <c r="H8" t="s">
        <v>21</v>
      </c>
      <c r="I8" s="1">
        <f>AVERAGE(I4:I7)</f>
        <v>-5.7249999999999995E-2</v>
      </c>
      <c r="J8" s="1">
        <f>AVERAGE(J4:J7)</f>
        <v>22.932500000000001</v>
      </c>
      <c r="K8" s="1">
        <f t="shared" ref="K8:P8" si="0">AVERAGE(K4:K6)</f>
        <v>9.2633333333333345E-2</v>
      </c>
      <c r="L8" s="1">
        <f t="shared" si="0"/>
        <v>7.1900000000000006E-2</v>
      </c>
      <c r="M8" s="1">
        <f t="shared" si="0"/>
        <v>8.2650000000000001E-2</v>
      </c>
      <c r="N8" s="1">
        <f t="shared" si="0"/>
        <v>-0.10766666666666667</v>
      </c>
      <c r="O8" s="1">
        <f t="shared" si="0"/>
        <v>0.10766666666666667</v>
      </c>
      <c r="P8" s="1">
        <f t="shared" si="0"/>
        <v>-1.1000000000000001E-2</v>
      </c>
    </row>
    <row r="9" spans="3:16" x14ac:dyDescent="0.2">
      <c r="C9" t="s">
        <v>10</v>
      </c>
      <c r="D9">
        <v>77.2</v>
      </c>
    </row>
    <row r="11" spans="3:16" x14ac:dyDescent="0.2">
      <c r="D11" t="s">
        <v>9</v>
      </c>
      <c r="E11" t="s">
        <v>31</v>
      </c>
    </row>
    <row r="12" spans="3:16" x14ac:dyDescent="0.2">
      <c r="C12" t="s">
        <v>7</v>
      </c>
      <c r="D12" s="1">
        <f>M8</f>
        <v>8.2650000000000001E-2</v>
      </c>
      <c r="E12" s="1">
        <f>$D$9+P8</f>
        <v>77.189000000000007</v>
      </c>
    </row>
    <row r="13" spans="3:16" x14ac:dyDescent="0.2">
      <c r="C13" t="s">
        <v>25</v>
      </c>
      <c r="D13" s="1">
        <f>L8</f>
        <v>7.1900000000000006E-2</v>
      </c>
      <c r="E13" s="1">
        <f>$D$9+O8</f>
        <v>77.307666666666663</v>
      </c>
    </row>
    <row r="14" spans="3:16" x14ac:dyDescent="0.2">
      <c r="C14" t="s">
        <v>5</v>
      </c>
      <c r="D14" s="1">
        <f>K8</f>
        <v>9.2633333333333345E-2</v>
      </c>
      <c r="E14" s="1">
        <f>$D$9+N8</f>
        <v>77.092333333333343</v>
      </c>
    </row>
    <row r="16" spans="3:16" x14ac:dyDescent="0.2">
      <c r="C16" t="s">
        <v>11</v>
      </c>
    </row>
    <row r="17" spans="3:11" x14ac:dyDescent="0.2">
      <c r="C17" t="s">
        <v>13</v>
      </c>
      <c r="H17" s="1"/>
      <c r="I17" s="1"/>
    </row>
    <row r="18" spans="3:11" x14ac:dyDescent="0.2">
      <c r="C18" t="s">
        <v>26</v>
      </c>
    </row>
    <row r="19" spans="3:11" x14ac:dyDescent="0.2">
      <c r="C19" t="s">
        <v>29</v>
      </c>
      <c r="H19" s="1"/>
    </row>
    <row r="20" spans="3:11" x14ac:dyDescent="0.2">
      <c r="C20" t="s">
        <v>30</v>
      </c>
    </row>
    <row r="21" spans="3:11" x14ac:dyDescent="0.2">
      <c r="C21" t="s">
        <v>32</v>
      </c>
      <c r="I21" s="1"/>
    </row>
    <row r="22" spans="3:11" x14ac:dyDescent="0.2">
      <c r="I22" s="1"/>
    </row>
    <row r="23" spans="3:11" x14ac:dyDescent="0.2">
      <c r="I23" s="1"/>
    </row>
    <row r="24" spans="3:11" x14ac:dyDescent="0.2">
      <c r="I24" s="1"/>
    </row>
    <row r="30" spans="3:11" x14ac:dyDescent="0.2">
      <c r="K30" s="1"/>
    </row>
    <row r="47" spans="19:19" x14ac:dyDescent="0.2">
      <c r="S47">
        <f>(U47+U46)</f>
        <v>0</v>
      </c>
    </row>
    <row r="48" spans="19:19" x14ac:dyDescent="0.2">
      <c r="S48">
        <f>(U48+U45)</f>
        <v>0</v>
      </c>
    </row>
    <row r="49" spans="19:19" x14ac:dyDescent="0.2">
      <c r="S49">
        <f>S47-S48</f>
        <v>0</v>
      </c>
    </row>
    <row r="65" spans="23:23" x14ac:dyDescent="0.2">
      <c r="W65">
        <f>(V65+V64)</f>
        <v>0</v>
      </c>
    </row>
    <row r="66" spans="23:23" x14ac:dyDescent="0.2">
      <c r="W66">
        <f>(V66+V63)</f>
        <v>0</v>
      </c>
    </row>
    <row r="67" spans="23:23" x14ac:dyDescent="0.2">
      <c r="W67">
        <f>W65-W66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0254-F37F-3B41-BDCB-C3654E73DA32}">
  <dimension ref="C3:K20"/>
  <sheetViews>
    <sheetView workbookViewId="0">
      <selection activeCell="H8" sqref="H8"/>
    </sheetView>
  </sheetViews>
  <sheetFormatPr baseColWidth="10" defaultRowHeight="16" x14ac:dyDescent="0.2"/>
  <sheetData>
    <row r="3" spans="3:11" x14ac:dyDescent="0.2">
      <c r="C3" t="s">
        <v>22</v>
      </c>
      <c r="D3">
        <v>3.3370000000000002</v>
      </c>
      <c r="H3" t="s">
        <v>24</v>
      </c>
      <c r="I3" t="s">
        <v>5</v>
      </c>
      <c r="J3" t="s">
        <v>25</v>
      </c>
      <c r="K3" t="s">
        <v>7</v>
      </c>
    </row>
    <row r="4" spans="3:11" x14ac:dyDescent="0.2">
      <c r="C4" t="s">
        <v>23</v>
      </c>
      <c r="D4">
        <v>160</v>
      </c>
      <c r="G4">
        <v>2025</v>
      </c>
      <c r="H4">
        <v>-6.7000000000000004E-2</v>
      </c>
      <c r="I4">
        <v>-1E-4</v>
      </c>
      <c r="J4">
        <v>0.1384</v>
      </c>
      <c r="K4">
        <v>-4.1999999999999997E-3</v>
      </c>
    </row>
    <row r="5" spans="3:11" x14ac:dyDescent="0.2">
      <c r="C5" t="s">
        <v>2</v>
      </c>
      <c r="D5">
        <v>78</v>
      </c>
      <c r="G5">
        <v>2024</v>
      </c>
      <c r="I5">
        <v>9.5600000000000004E-2</v>
      </c>
      <c r="J5">
        <v>4.4999999999999997E-3</v>
      </c>
      <c r="K5">
        <v>2.3800000000000002E-2</v>
      </c>
    </row>
    <row r="6" spans="3:11" x14ac:dyDescent="0.2">
      <c r="C6" t="s">
        <v>3</v>
      </c>
      <c r="D6">
        <v>6.7000000000000004E-2</v>
      </c>
    </row>
    <row r="7" spans="3:11" x14ac:dyDescent="0.2">
      <c r="C7" t="s">
        <v>4</v>
      </c>
      <c r="D7">
        <v>20.5</v>
      </c>
    </row>
    <row r="9" spans="3:11" x14ac:dyDescent="0.2">
      <c r="C9" t="s">
        <v>10</v>
      </c>
      <c r="D9">
        <v>77.2</v>
      </c>
    </row>
    <row r="11" spans="3:11" x14ac:dyDescent="0.2">
      <c r="D11" t="s">
        <v>9</v>
      </c>
      <c r="E11" t="s">
        <v>31</v>
      </c>
    </row>
    <row r="12" spans="3:11" x14ac:dyDescent="0.2">
      <c r="C12" t="s">
        <v>7</v>
      </c>
      <c r="D12" s="1">
        <f>M8</f>
        <v>0</v>
      </c>
      <c r="E12" s="1">
        <f>$D$9+P8</f>
        <v>77.2</v>
      </c>
    </row>
    <row r="13" spans="3:11" x14ac:dyDescent="0.2">
      <c r="C13" t="s">
        <v>25</v>
      </c>
      <c r="D13" s="1">
        <f>L8</f>
        <v>0</v>
      </c>
      <c r="E13" s="1">
        <f>$D$9+O8</f>
        <v>77.2</v>
      </c>
    </row>
    <row r="14" spans="3:11" x14ac:dyDescent="0.2">
      <c r="C14" t="s">
        <v>5</v>
      </c>
      <c r="D14" s="1">
        <f>K8</f>
        <v>0</v>
      </c>
      <c r="E14" s="1">
        <f>$D$9+N8</f>
        <v>77.2</v>
      </c>
    </row>
    <row r="16" spans="3:11" x14ac:dyDescent="0.2">
      <c r="C16" t="s">
        <v>11</v>
      </c>
    </row>
    <row r="17" spans="3:3" x14ac:dyDescent="0.2">
      <c r="C17" t="s">
        <v>18</v>
      </c>
    </row>
    <row r="18" spans="3:3" x14ac:dyDescent="0.2">
      <c r="C18" t="s">
        <v>20</v>
      </c>
    </row>
    <row r="19" spans="3:3" x14ac:dyDescent="0.2">
      <c r="C19" t="s">
        <v>17</v>
      </c>
    </row>
    <row r="20" spans="3:3" x14ac:dyDescent="0.2">
      <c r="C2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baharain</vt:lpstr>
      <vt:lpstr>imola</vt:lpstr>
      <vt:lpstr>austin</vt:lpstr>
      <vt:lpstr>aus</vt:lpstr>
      <vt:lpstr>china</vt:lpstr>
      <vt:lpstr>mexico</vt:lpstr>
      <vt:lpstr>spain</vt:lpstr>
      <vt:lpstr>monaco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Viana</dc:creator>
  <cp:lastModifiedBy>Rui Viana</cp:lastModifiedBy>
  <dcterms:created xsi:type="dcterms:W3CDTF">2025-12-13T15:44:40Z</dcterms:created>
  <dcterms:modified xsi:type="dcterms:W3CDTF">2026-03-12T20:53:38Z</dcterms:modified>
</cp:coreProperties>
</file>